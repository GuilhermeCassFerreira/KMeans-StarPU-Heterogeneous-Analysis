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PU hib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×&quot;"/>
    <numFmt numFmtId="166" formatCode="0.00&quot;×&quot;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Guilherme</author>
  </authors>
  <commentList>
    <comment ref="B4" authorId="0" shapeId="0">
      <text>
        <t>Tempo de loop da versão sequencial, Tabela 3 do artigo (659 s).</t>
      </text>
    </comment>
    <comment ref="B7" authorId="0" shapeId="0">
      <text>
        <t>Fonte: logs/starpu_np1/starpu_hybrid/*_metricas.log</t>
      </text>
    </comment>
    <comment ref="B8" authorId="0" shapeId="0">
      <text>
        <t>Fonte: results/experiments/starpu_np2_hybrid/logs (02/06/2026)</t>
      </text>
    </comment>
    <comment ref="B9" authorId="0" shapeId="0">
      <text>
        <t>Fonte: results/experiments/starpu_np4/logs (03/06/2026)</t>
      </text>
    </comment>
    <comment ref="B10" authorId="0" shapeId="0">
      <text>
        <t>Fonte: results/experiments/starpu_np32_hybrid/logs (28/10/2026)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1" customWidth="1" min="5" max="5"/>
    <col width="14" customWidth="1" min="6" max="6"/>
    <col width="14" customWidth="1" min="7" max="7"/>
    <col width="13" customWidth="1" min="8" max="8"/>
    <col width="11" customWidth="1" min="9" max="9"/>
  </cols>
  <sheetData>
    <row r="1">
      <c r="A1" s="1" t="inlineStr">
        <is>
          <t>StarPU+MPI híbrido — tempo de loop e speedup (K-Means, N=3×10⁸, K=50, D=2, 30 iterações, g6.4xlarge)</t>
        </is>
      </c>
    </row>
    <row r="2">
      <c r="A2" s="2" t="inlineStr">
        <is>
          <t>Tempo de loop = rank mais lento de cada execução (mesmo critério da Tabela 4 do artigo). Azul = valores medidos; preto = fórmulas.</t>
        </is>
      </c>
    </row>
    <row r="4">
      <c r="A4" s="3" t="inlineStr">
        <is>
          <t>Tempo sequencial (s)</t>
        </is>
      </c>
      <c r="B4" s="4" t="n">
        <v>659</v>
      </c>
    </row>
    <row r="6" ht="30" customHeight="1">
      <c r="A6" s="5" t="inlineStr">
        <is>
          <t>Nós</t>
        </is>
      </c>
      <c r="B6" s="5" t="inlineStr">
        <is>
          <t>Medição 1 (s)</t>
        </is>
      </c>
      <c r="C6" s="5" t="inlineStr">
        <is>
          <t>Medição 2 (s)</t>
        </is>
      </c>
      <c r="D6" s="5" t="inlineStr">
        <is>
          <t>Medição 3 (s)</t>
        </is>
      </c>
      <c r="E6" s="5" t="inlineStr">
        <is>
          <t>Média (s)</t>
        </is>
      </c>
      <c r="F6" s="5" t="inlineStr">
        <is>
          <t>Desvio padrão (s)</t>
        </is>
      </c>
      <c r="G6" s="5" t="inlineStr">
        <is>
          <t>Speedup vs. sequencial</t>
        </is>
      </c>
      <c r="H6" s="5" t="inlineStr">
        <is>
          <t>Speedup vs. 1 nó</t>
        </is>
      </c>
      <c r="I6" s="5" t="inlineStr">
        <is>
          <t>Eficiência</t>
        </is>
      </c>
    </row>
    <row r="7">
      <c r="A7" s="6" t="n">
        <v>1</v>
      </c>
      <c r="B7" s="7" t="n">
        <v>15.43071</v>
      </c>
      <c r="C7" s="7" t="n">
        <v>15.42998</v>
      </c>
      <c r="D7" s="7" t="n">
        <v>15.43126</v>
      </c>
      <c r="E7" s="8">
        <f>AVERAGE(B7:D7)</f>
        <v/>
      </c>
      <c r="F7" s="8">
        <f>STDEV(B7:D7)</f>
        <v/>
      </c>
      <c r="G7" s="9">
        <f>$B$4/E7</f>
        <v/>
      </c>
      <c r="H7" s="10">
        <f>$E$7/E7</f>
        <v/>
      </c>
      <c r="I7" s="11">
        <f>H7/A7</f>
        <v/>
      </c>
    </row>
    <row r="8">
      <c r="A8" s="6" t="n">
        <v>2</v>
      </c>
      <c r="B8" s="7" t="n">
        <v>7.77005</v>
      </c>
      <c r="C8" s="7" t="n">
        <v>7.7653</v>
      </c>
      <c r="D8" s="7" t="n">
        <v>7.75895</v>
      </c>
      <c r="E8" s="8">
        <f>AVERAGE(B8:D8)</f>
        <v/>
      </c>
      <c r="F8" s="8">
        <f>STDEV(B8:D8)</f>
        <v/>
      </c>
      <c r="G8" s="9">
        <f>$B$4/E8</f>
        <v/>
      </c>
      <c r="H8" s="10">
        <f>$E$7/E8</f>
        <v/>
      </c>
      <c r="I8" s="11">
        <f>H8/A8</f>
        <v/>
      </c>
    </row>
    <row r="9">
      <c r="A9" s="6" t="n">
        <v>4</v>
      </c>
      <c r="B9" s="7" t="n">
        <v>3.93434</v>
      </c>
      <c r="C9" s="7" t="n">
        <v>3.97979</v>
      </c>
      <c r="D9" s="7" t="n">
        <v>3.98197</v>
      </c>
      <c r="E9" s="8">
        <f>AVERAGE(B9:D9)</f>
        <v/>
      </c>
      <c r="F9" s="8">
        <f>STDEV(B9:D9)</f>
        <v/>
      </c>
      <c r="G9" s="9">
        <f>$B$4/E9</f>
        <v/>
      </c>
      <c r="H9" s="10">
        <f>$E$7/E9</f>
        <v/>
      </c>
      <c r="I9" s="11">
        <f>H9/A9</f>
        <v/>
      </c>
    </row>
    <row r="10">
      <c r="A10" s="12" t="n">
        <v>32</v>
      </c>
      <c r="B10" s="13" t="n">
        <v>1.0137</v>
      </c>
      <c r="C10" s="13" t="n">
        <v>1.25525</v>
      </c>
      <c r="D10" s="13" t="n">
        <v>1.036</v>
      </c>
      <c r="E10" s="14">
        <f>AVERAGE(B10:D10)</f>
        <v/>
      </c>
      <c r="F10" s="14">
        <f>STDEV(B10:D10)</f>
        <v/>
      </c>
      <c r="G10" s="15">
        <f>$B$4/E10</f>
        <v/>
      </c>
      <c r="H10" s="16">
        <f>$E$7/E10</f>
        <v/>
      </c>
      <c r="I10" s="17">
        <f>H10/A10</f>
        <v/>
      </c>
    </row>
    <row r="12">
      <c r="A12" s="18" t="inlineStr">
        <is>
          <t>Speedup vs. 1 nó = média(1 nó) / média(n nós). Eficiência = speedup vs. 1 nó / n. Ideal linear: eficiência = 100%.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2026-10-28T03:18:50Z</dcterms:created>
  <dcterms:modified xsi:type="dcterms:W3CDTF">2026-10-28T03:19:00Z</dcterms:modified>
</cp:coreProperties>
</file>